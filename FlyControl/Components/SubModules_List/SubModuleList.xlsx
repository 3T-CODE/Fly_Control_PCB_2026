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<sst xmlns="http://schemas.openxmlformats.org/spreadsheetml/2006/main" count="42" uniqueCount="35">
  <si>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Components_List</t>
  </si>
  <si>
    <t>Index</t>
  </si>
  <si>
    <t>Name</t>
  </si>
  <si>
    <t>Type</t>
  </si>
  <si>
    <t>Quantity each PCB</t>
  </si>
  <si>
    <t>Suppliers 1 Price</t>
  </si>
  <si>
    <t>Quantity lefts of Supplier 1</t>
  </si>
  <si>
    <t>Total Price of Supplier 1</t>
  </si>
  <si>
    <t>Link product of Supplier 1</t>
  </si>
  <si>
    <t>Suppliers 2 Price</t>
  </si>
  <si>
    <t>Quantity lefts of Supplier 2</t>
  </si>
  <si>
    <t>Total Price of Supplier 2</t>
  </si>
  <si>
    <t>Link product of Supplier 2</t>
  </si>
  <si>
    <t>Suppliers 3 Price</t>
  </si>
  <si>
    <t>Quantity lefts of Supplier 3</t>
  </si>
  <si>
    <t>Total Price of Supplier 3</t>
  </si>
  <si>
    <t>Link product of Supplier 3</t>
  </si>
  <si>
    <t>Replace Parts if needed</t>
  </si>
  <si>
    <t>Notes</t>
  </si>
  <si>
    <t>CaddxFPV Ratel2</t>
  </si>
  <si>
    <t>CAMERA</t>
  </si>
  <si>
    <t>?</t>
  </si>
  <si>
    <t>Ultra 2500</t>
  </si>
  <si>
    <t>VTX_HD</t>
  </si>
  <si>
    <t>DJI O3 Lite</t>
  </si>
  <si>
    <t>Ultra Air unit</t>
  </si>
  <si>
    <t>FrSky XM+</t>
  </si>
  <si>
    <t>SBUS Receiver</t>
  </si>
  <si>
    <t>M10Q-5883</t>
  </si>
  <si>
    <t>GPS+COMPASS</t>
  </si>
  <si>
    <t>HappyModel EP1</t>
  </si>
  <si>
    <t>Telemetry receiver</t>
  </si>
  <si>
    <t>HC-05</t>
  </si>
  <si>
    <t>Bluetooth</t>
  </si>
  <si>
    <t>TotalPriceS1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</si>
</sst>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0.5"/>
      <color rgb="FF0072FC"/>
      <name val="Microsoft YaHei"/>
      <charset val="134"/>
    </font>
    <font>
      <sz val="10.5"/>
      <color rgb="FF222222"/>
      <name val="Microsoft YaHei"/>
      <charset val="134"/>
    </font>
    <font>
      <u/>
      <sz val="11"/>
      <color rgb="FF0000FF"/>
      <name val="Calibri"/>
      <charset val="0"/>
      <scheme val="minor"/>
    </font>
    <font>
      <sz val="12"/>
      <color rgb="FFD62C2C"/>
      <name val="Arial"/>
      <charset val="134"/>
    </font>
    <font>
      <sz val="10.5"/>
      <color rgb="FF6D727F"/>
      <name val="Microsoft YaHei"/>
      <charset val="134"/>
    </font>
    <font>
      <sz val="12"/>
      <color rgb="FF111111"/>
      <name val="Microsoft YaHe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8" fontId="2" fillId="0" borderId="0" xfId="0" applyNumberFormat="1" applyFont="1">
      <alignment vertical="center"/>
    </xf>
    <xf numFmtId="0" fontId="3" fillId="0" borderId="0" xfId="0" applyFont="1">
      <alignment vertical="center"/>
    </xf>
    <xf numFmtId="44" fontId="0" fillId="0" borderId="0" xfId="0" applyNumberFormat="1" applyFont="1">
      <alignment vertical="center"/>
    </xf>
    <xf numFmtId="0" fontId="4" fillId="0" borderId="0" xfId="6">
      <alignment vertical="center"/>
    </xf>
    <xf numFmtId="8" fontId="3" fillId="0" borderId="0" xfId="0" applyNumberFormat="1" applyFont="1">
      <alignment vertical="center"/>
    </xf>
    <xf numFmtId="0" fontId="0" fillId="0" borderId="0" xfId="0" applyFont="1" applyFill="1">
      <alignment vertical="center"/>
    </xf>
    <xf numFmtId="8" fontId="5" fillId="0" borderId="0" xfId="0" applyNumberFormat="1" applyFont="1">
      <alignment vertical="center"/>
    </xf>
    <xf numFmtId="44" fontId="0" fillId="0" borderId="0" xfId="0" applyNumberFormat="1" applyFont="1" applyFill="1">
      <alignment vertical="center"/>
    </xf>
    <xf numFmtId="0" fontId="4" fillId="0" borderId="0" xfId="6" applyFill="1">
      <alignment vertical="center"/>
    </xf>
    <xf numFmtId="44" fontId="0" fillId="0" borderId="0" xfId="0" applyNumberFormat="1">
      <alignment vertical="center"/>
    </xf>
    <xf numFmtId="3" fontId="6" fillId="0" borderId="0" xfId="0" applyNumberFormat="1" applyFont="1">
      <alignment vertical="center"/>
    </xf>
    <xf numFmtId="3" fontId="7" fillId="0" borderId="0" xfId="0" applyNumberFormat="1" applyFont="1">
      <alignment vertical="center"/>
    </xf>
    <xf numFmtId="0" fontId="4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s://shopee.vn/Rx-Frsky-Sbus-XM-Receiver-i.1280150750.28806388302" TargetMode="External"/><Relationship Id="rId6" Type="http://schemas.openxmlformats.org/officeDocument/2006/relationships/hyperlink" Target="https://www.myfpvstore.com/fpv-electronics/matek-gnss-compass-m10q-5883/" TargetMode="External"/><Relationship Id="rId5" Type="http://schemas.openxmlformats.org/officeDocument/2006/relationships/hyperlink" Target="https://hshop.vn/mach-thu-phat-bluetooth-hc-05-do-ra-chon-master" TargetMode="External"/><Relationship Id="rId4" Type="http://schemas.openxmlformats.org/officeDocument/2006/relationships/hyperlink" Target="https://www.amazon.com/Happymodel-2-4GHz-SX1280-EXPRESSLRS-Receiver/dp/B092J2QJ8S/ref=sr_1_1_sspa?dib=eyJ2IjoiMSJ9.7S7NP4tJY081u4fZVxeBpUAT7-CiI82XKOukagQr1qLiyMrmwxD0GLd4eju4muYLrU18OSp6omztxlPomHwH8J-0NGag3heH0LcJ9Q4NJpCUVMMedoRjbd_2_BzyAD1IYO3Pux_jOJY2" TargetMode="External"/><Relationship Id="rId3" Type="http://schemas.openxmlformats.org/officeDocument/2006/relationships/hyperlink" Target="https://flywoo.net/products/flywoo-naked-o3-lite-ultra-air-unit?sku=18060518313185258300092494" TargetMode="External"/><Relationship Id="rId2" Type="http://schemas.openxmlformats.org/officeDocument/2006/relationships/hyperlink" Target="https://www.caddxfpv.com/products/ratel-2-1-1-8inch-starlight-sensor-freestyle-fpv-camera" TargetMode="External"/><Relationship Id="rId1" Type="http://schemas.openxmlformats.org/officeDocument/2006/relationships/hyperlink" Target="https://www.rotorama.com/product/ultra-4-9g-5-8g-2500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"/>
  <sheetViews>
    <sheetView tabSelected="1" workbookViewId="0">
      <selection activeCell="G15" sqref="G15"/>
    </sheetView>
  </sheetViews>
  <sheetFormatPr defaultColWidth="9.14285714285714" defaultRowHeight="15"/>
  <cols>
    <col min="2" max="2" width="18.2857142857143" customWidth="1"/>
    <col min="3" max="3" width="20" customWidth="1"/>
    <col min="4" max="4" width="18.7142857142857" customWidth="1"/>
    <col min="5" max="5" width="16.8571428571429" customWidth="1"/>
    <col min="6" max="6" width="27.1428571428571" customWidth="1"/>
    <col min="7" max="7" width="24" customWidth="1"/>
    <col min="8" max="8" width="25.7142857142857" customWidth="1"/>
    <col min="9" max="9" width="16.8571428571429" customWidth="1"/>
    <col min="10" max="10" width="27.1428571428571" customWidth="1"/>
    <col min="11" max="11" width="24" customWidth="1"/>
    <col min="12" max="12" width="25.7142857142857" customWidth="1"/>
    <col min="13" max="13" width="16.8571428571429" customWidth="1"/>
    <col min="14" max="14" width="27.1428571428571" customWidth="1"/>
    <col min="15" max="15" width="24" customWidth="1"/>
    <col min="16" max="16" width="25.7142857142857" customWidth="1"/>
    <col min="17" max="17" width="24" customWidth="1"/>
  </cols>
  <sheetData>
    <row r="1" ht="33.75" spans="1:18">
      <c r="A1" s="2"/>
      <c r="B1" s="2"/>
      <c r="C1" s="2"/>
      <c r="D1" s="2"/>
      <c r="E1" s="2"/>
      <c r="F1" s="2"/>
      <c r="G1" s="3"/>
      <c r="H1" s="2"/>
      <c r="I1" s="2"/>
      <c r="J1" s="3" t="s">
        <v>0</v>
      </c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</row>
    <row r="3" ht="17.25" spans="1:18">
      <c r="A3" s="2">
        <v>1</v>
      </c>
      <c r="B3" s="2" t="s">
        <v>19</v>
      </c>
      <c r="C3" s="2" t="s">
        <v>20</v>
      </c>
      <c r="D3" s="2">
        <v>1</v>
      </c>
      <c r="E3" s="4">
        <v>31</v>
      </c>
      <c r="F3" s="5" t="s">
        <v>21</v>
      </c>
      <c r="G3" s="6">
        <f t="shared" ref="G3:G12" si="0">E3*D3</f>
        <v>31</v>
      </c>
      <c r="H3" s="7" t="s">
        <v>19</v>
      </c>
      <c r="I3" s="2"/>
      <c r="J3" s="2"/>
      <c r="K3" s="2"/>
      <c r="L3" s="2"/>
      <c r="M3" s="2"/>
      <c r="N3" s="2"/>
      <c r="O3" s="2"/>
      <c r="P3" s="2"/>
      <c r="Q3" s="2"/>
      <c r="R3" s="2"/>
    </row>
    <row r="4" ht="17.25" spans="1:18">
      <c r="A4" s="2">
        <v>2</v>
      </c>
      <c r="B4" s="2" t="s">
        <v>22</v>
      </c>
      <c r="C4" s="2" t="s">
        <v>23</v>
      </c>
      <c r="D4" s="2">
        <v>1</v>
      </c>
      <c r="E4" s="8">
        <v>47.7</v>
      </c>
      <c r="F4" s="5">
        <v>121749</v>
      </c>
      <c r="G4" s="6">
        <f t="shared" si="0"/>
        <v>47.7</v>
      </c>
      <c r="H4" s="7" t="s">
        <v>22</v>
      </c>
      <c r="I4" s="2"/>
      <c r="J4" s="2"/>
      <c r="K4" s="2"/>
      <c r="L4" s="2"/>
      <c r="M4" s="2"/>
      <c r="N4" s="2"/>
      <c r="O4" s="2"/>
      <c r="P4" s="2"/>
      <c r="Q4" s="2"/>
      <c r="R4" s="2"/>
    </row>
    <row r="5" ht="17.25" spans="1:18">
      <c r="A5" s="2">
        <v>3</v>
      </c>
      <c r="B5" s="2" t="s">
        <v>24</v>
      </c>
      <c r="C5" s="2" t="s">
        <v>25</v>
      </c>
      <c r="D5" s="2">
        <v>1</v>
      </c>
      <c r="E5" s="8">
        <v>230.05</v>
      </c>
      <c r="F5" s="5">
        <v>6540</v>
      </c>
      <c r="G5" s="6">
        <f t="shared" si="0"/>
        <v>230.05</v>
      </c>
      <c r="H5" s="7" t="s">
        <v>24</v>
      </c>
      <c r="I5" s="2"/>
      <c r="J5" s="2"/>
      <c r="K5" s="2"/>
      <c r="L5" s="2"/>
      <c r="M5" s="2"/>
      <c r="N5" s="2"/>
      <c r="O5" s="2"/>
      <c r="P5" s="2"/>
      <c r="Q5" s="2"/>
      <c r="R5" s="2"/>
    </row>
    <row r="6" s="1" customFormat="1" ht="17.25" spans="1:18">
      <c r="A6" s="9">
        <v>4</v>
      </c>
      <c r="B6" s="9" t="s">
        <v>26</v>
      </c>
      <c r="C6" s="9" t="s">
        <v>27</v>
      </c>
      <c r="D6" s="9">
        <v>1</v>
      </c>
      <c r="E6" s="10">
        <v>12.99</v>
      </c>
      <c r="F6" s="5">
        <v>14187</v>
      </c>
      <c r="G6" s="11">
        <f t="shared" si="0"/>
        <v>12.99</v>
      </c>
      <c r="H6" s="12" t="s">
        <v>26</v>
      </c>
      <c r="I6" s="9"/>
      <c r="J6" s="9"/>
      <c r="K6" s="9"/>
      <c r="L6" s="9"/>
      <c r="M6" s="9"/>
      <c r="N6" s="9"/>
      <c r="O6" s="9"/>
      <c r="P6" s="9"/>
      <c r="Q6" s="9"/>
      <c r="R6" s="9"/>
    </row>
    <row r="7" ht="17.25" spans="1:18">
      <c r="A7" s="2">
        <v>5</v>
      </c>
      <c r="B7" s="2" t="s">
        <v>28</v>
      </c>
      <c r="C7" s="2" t="s">
        <v>29</v>
      </c>
      <c r="D7" s="2">
        <v>1</v>
      </c>
      <c r="E7" s="8">
        <v>49.99</v>
      </c>
      <c r="F7" s="5">
        <v>54901</v>
      </c>
      <c r="G7" s="6">
        <f t="shared" si="0"/>
        <v>49.99</v>
      </c>
      <c r="H7" s="7" t="s">
        <v>28</v>
      </c>
      <c r="I7" s="2"/>
      <c r="J7" s="2"/>
      <c r="K7" s="2"/>
      <c r="L7" s="2"/>
      <c r="M7" s="2"/>
      <c r="N7" s="2"/>
      <c r="O7" s="2"/>
      <c r="P7" s="2"/>
      <c r="Q7" s="2"/>
      <c r="R7" s="2"/>
    </row>
    <row r="8" ht="17.25" spans="1:18">
      <c r="A8" s="2">
        <v>6</v>
      </c>
      <c r="B8" s="2" t="s">
        <v>30</v>
      </c>
      <c r="C8" s="2" t="s">
        <v>31</v>
      </c>
      <c r="D8" s="2">
        <v>1</v>
      </c>
      <c r="E8" s="8">
        <v>26</v>
      </c>
      <c r="F8" s="5">
        <v>40888</v>
      </c>
      <c r="G8" s="6">
        <f t="shared" si="0"/>
        <v>26</v>
      </c>
      <c r="H8" s="7" t="s">
        <v>30</v>
      </c>
      <c r="I8" s="2"/>
      <c r="J8" s="2"/>
      <c r="K8" s="2"/>
      <c r="L8" s="2"/>
      <c r="M8" s="2"/>
      <c r="N8" s="2"/>
      <c r="O8" s="2"/>
      <c r="P8" s="2"/>
      <c r="Q8" s="2"/>
      <c r="R8" s="2"/>
    </row>
    <row r="9" ht="17.25" spans="1:18">
      <c r="A9" s="2">
        <v>7</v>
      </c>
      <c r="B9" s="2" t="s">
        <v>32</v>
      </c>
      <c r="C9" s="2" t="s">
        <v>33</v>
      </c>
      <c r="D9" s="2">
        <v>1</v>
      </c>
      <c r="E9" s="8">
        <v>5.32</v>
      </c>
      <c r="F9" s="5">
        <v>2051</v>
      </c>
      <c r="G9" s="6">
        <f t="shared" si="0"/>
        <v>5.32</v>
      </c>
      <c r="H9" s="7" t="s">
        <v>32</v>
      </c>
      <c r="I9" s="2"/>
      <c r="J9" s="2"/>
      <c r="K9" s="2"/>
      <c r="L9" s="2"/>
      <c r="M9" s="2"/>
      <c r="N9" s="2"/>
      <c r="O9" s="2"/>
      <c r="P9" s="2"/>
      <c r="Q9" s="2"/>
      <c r="R9" s="2"/>
    </row>
    <row r="10" ht="17.25" spans="1:18">
      <c r="A10" s="2"/>
      <c r="B10" s="2"/>
      <c r="C10" s="2"/>
      <c r="D10" s="2"/>
      <c r="E10" s="4"/>
      <c r="F10" t="s">
        <v>34</v>
      </c>
      <c r="G10" s="13">
        <f ca="1">SUM(G3:G12)</f>
        <v>403.05</v>
      </c>
      <c r="I10" s="2"/>
      <c r="J10" s="2"/>
      <c r="K10" s="2"/>
      <c r="L10" s="2"/>
      <c r="M10" s="2"/>
      <c r="N10" s="2"/>
      <c r="O10" s="2"/>
      <c r="P10" s="2"/>
      <c r="Q10" s="2"/>
      <c r="R10" s="2"/>
    </row>
    <row r="11" ht="17.25" spans="1:18">
      <c r="A11" s="2"/>
      <c r="B11" s="2"/>
      <c r="C11" s="2"/>
      <c r="D11" s="2"/>
      <c r="E11" s="4"/>
      <c r="F11" s="14"/>
      <c r="G11" s="6"/>
      <c r="H11" s="7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ht="17.25" spans="1:18">
      <c r="A12" s="2"/>
      <c r="B12" s="2"/>
      <c r="C12" s="2"/>
      <c r="D12" s="2"/>
      <c r="E12" s="4"/>
      <c r="F12" s="15"/>
      <c r="G12" s="6"/>
      <c r="H12" s="16"/>
      <c r="I12" s="2"/>
      <c r="J12" s="2"/>
      <c r="K12" s="2"/>
      <c r="L12" s="2"/>
      <c r="M12" s="2"/>
      <c r="N12" s="2"/>
      <c r="O12" s="2"/>
      <c r="P12" s="2"/>
      <c r="Q12" s="2"/>
      <c r="R12" s="2"/>
    </row>
  </sheetData>
  <hyperlinks>
    <hyperlink ref="H4" r:id="rId1" display="Ultra 2500"/>
    <hyperlink ref="H3" r:id="rId2" display="CaddxFPV Ratel2"/>
    <hyperlink ref="H5" r:id="rId3" display="DJI O3 Lite"/>
    <hyperlink ref="H8" r:id="rId4" display="HappyModel EP1"/>
    <hyperlink ref="H9" r:id="rId5" display="HC-05"/>
    <hyperlink ref="H7" r:id="rId6" display="M10Q-5883"/>
    <hyperlink ref="H6" r:id="rId7" display="FrSky XM+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Crypt</dc:creator>
  <cp:lastModifiedBy>Crypt</cp:lastModifiedBy>
  <dcterms:created xsi:type="dcterms:W3CDTF">2026-07-09T08:10:00Z</dcterms:created>
  <dcterms:modified xsi:type="dcterms:W3CDTF">2026-07-09T08:48:12Z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4F9638114A344944AC5B47E63FF22AC5_11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