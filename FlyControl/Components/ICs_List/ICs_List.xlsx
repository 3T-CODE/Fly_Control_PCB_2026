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2"/>
  </bookViews>
  <sheets>
    <sheet name="OriginList" sheetId="1" r:id="rId1"/>
    <sheet name="BackUpList" sheetId="2" r:id="rId2"/>
    <sheet name="BackUp(Cheap1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<sst xmlns="http://schemas.openxmlformats.org/spreadsheetml/2006/main" count="149" uniqueCount="44">
  <si>
    <t>ICs_List</t>
  </si>
  <si>
    <t>Index</t>
  </si>
  <si>
    <t>Name</t>
  </si>
  <si>
    <t>Type</t>
  </si>
  <si>
    <t>Quantity each PCB</t>
  </si>
  <si>
    <t>Suppliers 1 Price</t>
  </si>
  <si>
    <t>Quantity lefts of Supplier 1</t>
  </si>
  <si>
    <t>Total Price of Supplier 1</t>
  </si>
  <si>
    <t>Link product of Supplier 1</t>
  </si>
  <si>
    <t>Suppliers 2 Price</t>
  </si>
  <si>
    <t>Quantity lefts of Supplier 2</t>
  </si>
  <si>
    <t>Total Price of Supplier 2</t>
  </si>
  <si>
    <t>Link product of Supplier 2</t>
  </si>
  <si>
    <t>Suppliers 3 Price</t>
  </si>
  <si>
    <t>Quantity lefts of Supplier 3</t>
  </si>
  <si>
    <t>Total Price of Supplier 3</t>
  </si>
  <si>
    <t>Link product of Supplier 3</t>
  </si>
  <si>
    <t>Replace Parts if needed</t>
  </si>
  <si>
    <t>Notes</t>
  </si>
  <si>
    <t>STM32H743VGT6</t>
  </si>
  <si>
    <t>MCU</t>
  </si>
  <si>
    <t>STM32H743VGT6_JLC</t>
  </si>
  <si>
    <t>W25Q128JV</t>
  </si>
  <si>
    <t>FLASH</t>
  </si>
  <si>
    <t>ICM-42688-P</t>
  </si>
  <si>
    <t>IMU</t>
  </si>
  <si>
    <t>SPL06</t>
  </si>
  <si>
    <t>Baro meter</t>
  </si>
  <si>
    <t>TJA1051TK/3</t>
  </si>
  <si>
    <t>CAN transceiver</t>
  </si>
  <si>
    <t>AT7456E</t>
  </si>
  <si>
    <t>OSD</t>
  </si>
  <si>
    <t>SGM3001</t>
  </si>
  <si>
    <t>Analog switch</t>
  </si>
  <si>
    <t>LP5907-3.3</t>
  </si>
  <si>
    <t>LDO</t>
  </si>
  <si>
    <t>TLV1117LV33DCYR</t>
  </si>
  <si>
    <t>TPS54540</t>
  </si>
  <si>
    <t>Buck</t>
  </si>
  <si>
    <t>TPS54560DDAR</t>
  </si>
  <si>
    <t>ICM-42605</t>
  </si>
  <si>
    <t>BMP388</t>
  </si>
  <si>
    <t>TotalPriceS1</t>
  </si>
  <si>
    <t>ICM-42688-P (HXY)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</si>
</sst>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0.5"/>
      <color rgb="FF0072FC"/>
      <name val="Microsoft YaHei"/>
      <charset val="134"/>
    </font>
    <font>
      <sz val="10.5"/>
      <color rgb="FF222222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.5"/>
      <color rgb="FF6D727F"/>
      <name val="Microsoft YaHei"/>
      <charset val="134"/>
    </font>
    <font>
      <sz val="12"/>
      <color rgb="FF111111"/>
      <name val="Microsoft YaHe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8" fontId="2" fillId="0" borderId="0" xfId="0" applyNumberFormat="1" applyFont="1">
      <alignment vertical="center"/>
    </xf>
    <xf numFmtId="0" fontId="3" fillId="0" borderId="0" xfId="0" applyFont="1">
      <alignment vertical="center"/>
    </xf>
    <xf numFmtId="44" fontId="0" fillId="0" borderId="0" xfId="0" applyNumberFormat="1" applyFont="1">
      <alignment vertical="center"/>
    </xf>
    <xf numFmtId="0" fontId="4" fillId="0" borderId="0" xfId="6" applyFont="1">
      <alignment vertical="center"/>
    </xf>
    <xf numFmtId="0" fontId="0" fillId="0" borderId="0" xfId="0" applyFont="1">
      <alignment vertical="center"/>
    </xf>
    <xf numFmtId="8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6">
      <alignment vertical="center"/>
    </xf>
    <xf numFmtId="8" fontId="3" fillId="0" borderId="0" xfId="0" applyNumberFormat="1" applyFont="1">
      <alignment vertical="center"/>
    </xf>
    <xf numFmtId="0" fontId="0" fillId="0" borderId="0" xfId="0" applyFont="1" applyFill="1">
      <alignment vertical="center"/>
    </xf>
    <xf numFmtId="0" fontId="3" fillId="0" borderId="0" xfId="0" applyFont="1">
      <alignment vertical="center"/>
    </xf>
    <xf numFmtId="44" fontId="0" fillId="0" borderId="0" xfId="0" applyNumberFormat="1" applyFont="1" applyFill="1">
      <alignment vertical="center"/>
    </xf>
    <xf numFmtId="0" fontId="5" fillId="0" borderId="0" xfId="6" applyFont="1" applyFill="1">
      <alignment vertical="center"/>
    </xf>
    <xf numFmtId="8" fontId="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44" fontId="0" fillId="0" borderId="0" xfId="0" applyNumberFormat="1">
      <alignment vertical="center"/>
    </xf>
    <xf numFmtId="8" fontId="2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8" fontId="3" fillId="2" borderId="0" xfId="0" applyNumberFormat="1" applyFont="1" applyFill="1">
      <alignment vertical="center"/>
    </xf>
    <xf numFmtId="44" fontId="0" fillId="2" borderId="0" xfId="0" applyNumberFormat="1" applyFont="1" applyFill="1">
      <alignment vertical="center"/>
    </xf>
    <xf numFmtId="0" fontId="4" fillId="2" borderId="0" xfId="6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lcpcb.com/partdetail/TexasInstruments-LP5907MFX_3_3NOPB/C80670" TargetMode="External"/><Relationship Id="rId8" Type="http://schemas.openxmlformats.org/officeDocument/2006/relationships/hyperlink" Target="https://jlcpcb.com/partdetail/TECHPUBLIC-TPSGM3001XC6/C47117637" TargetMode="External"/><Relationship Id="rId7" Type="http://schemas.openxmlformats.org/officeDocument/2006/relationships/hyperlink" Target="https://jlcpcb.com/partdetail/ZHONGKEWEI-AT7456E/C82351" TargetMode="External"/><Relationship Id="rId6" Type="http://schemas.openxmlformats.org/officeDocument/2006/relationships/hyperlink" Target="https://jlcpcb.com/partdetail/NXPSemicon-TJA1051TK_31J/C2875699" TargetMode="External"/><Relationship Id="rId5" Type="http://schemas.openxmlformats.org/officeDocument/2006/relationships/hyperlink" Target="https://jlcpcb.com/partdetail/Goertek-SPL06007/C233787" TargetMode="External"/><Relationship Id="rId4" Type="http://schemas.openxmlformats.org/officeDocument/2006/relationships/hyperlink" Target="https://jlcpcb.com/partdetail/TDKInvenSense-ICM_42688P/C1850418" TargetMode="External"/><Relationship Id="rId3" Type="http://schemas.openxmlformats.org/officeDocument/2006/relationships/hyperlink" Target="https://jlcpcb.com/partdetail/WinbondElec-W25Q128JVSIQ/C97521" TargetMode="External"/><Relationship Id="rId2" Type="http://schemas.openxmlformats.org/officeDocument/2006/relationships/hyperlink" Target="https://jlcpcb.com/partdetail/TexasInstruments-TPS54560DDAR/C31966" TargetMode="External"/><Relationship Id="rId10" Type="http://schemas.openxmlformats.org/officeDocument/2006/relationships/hyperlink" Target="https://jlcpcb.com/partdetail/TexasInstruments-TLV1117LV33DCYR/C15578" TargetMode="External"/><Relationship Id="rId1" Type="http://schemas.openxmlformats.org/officeDocument/2006/relationships/hyperlink" Target="https://jlcpcb.com/parts/componentSearch?searchTxt=STM32H743VGT6&amp;_t=1783510028013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jlcpcb.com/partdetail/TexasInstruments-LP5907MFX_3_3NOPB/C80670" TargetMode="External"/><Relationship Id="rId8" Type="http://schemas.openxmlformats.org/officeDocument/2006/relationships/hyperlink" Target="https://jlcpcb.com/partdetail/TECHPUBLIC-TPSGM3001XC6/C47117637" TargetMode="External"/><Relationship Id="rId7" Type="http://schemas.openxmlformats.org/officeDocument/2006/relationships/hyperlink" Target="https://jlcpcb.com/partdetail/ZHONGKEWEI-AT7456E/C82351" TargetMode="External"/><Relationship Id="rId6" Type="http://schemas.openxmlformats.org/officeDocument/2006/relationships/hyperlink" Target="https://jlcpcb.com/partdetail/NXPSemicon-TJA1051TK_31J/C2875699" TargetMode="External"/><Relationship Id="rId5" Type="http://schemas.openxmlformats.org/officeDocument/2006/relationships/hyperlink" Target="https://jlcpcb.com/partdetail/TexasInstruments-TPS54560DDAR/C31966" TargetMode="External"/><Relationship Id="rId4" Type="http://schemas.openxmlformats.org/officeDocument/2006/relationships/hyperlink" Target="https://jlcpcb.com/partdetail/TDKInvenSense-ICM42605/C2655099" TargetMode="External"/><Relationship Id="rId3" Type="http://schemas.openxmlformats.org/officeDocument/2006/relationships/hyperlink" Target="https://jlcpcb.com/partdetail/BoschSensortec-BMP388/C779278" TargetMode="External"/><Relationship Id="rId2" Type="http://schemas.openxmlformats.org/officeDocument/2006/relationships/hyperlink" Target="https://jlcpcb.com/partdetail/WinbondElec-W25Q128JVSIQ/C97521" TargetMode="External"/><Relationship Id="rId10" Type="http://schemas.openxmlformats.org/officeDocument/2006/relationships/hyperlink" Target="https://jlcpcb.com/partdetail/TexasInstruments-TLV1117LV33DCYR/C15578" TargetMode="External"/><Relationship Id="rId1" Type="http://schemas.openxmlformats.org/officeDocument/2006/relationships/hyperlink" Target="https://jlcpcb.com/parts/componentSearch?searchTxt=STM32H743VGT6&amp;_t=1783510028013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jlcpcb.com/partdetail/TexasInstruments-TLV1117LV33DCYR/C15578" TargetMode="External"/><Relationship Id="rId8" Type="http://schemas.openxmlformats.org/officeDocument/2006/relationships/hyperlink" Target="https://jlcpcb.com/partdetail/TexasInstruments-LP5907MFX_3_3NOPB/C80670" TargetMode="External"/><Relationship Id="rId7" Type="http://schemas.openxmlformats.org/officeDocument/2006/relationships/hyperlink" Target="https://jlcpcb.com/partdetail/TECHPUBLIC-TPSGM3001XC6/C47117637" TargetMode="External"/><Relationship Id="rId6" Type="http://schemas.openxmlformats.org/officeDocument/2006/relationships/hyperlink" Target="https://jlcpcb.com/partdetail/ZHONGKEWEI-AT7456E/C82351" TargetMode="External"/><Relationship Id="rId5" Type="http://schemas.openxmlformats.org/officeDocument/2006/relationships/hyperlink" Target="https://jlcpcb.com/partdetail/NXPSemicon-TJA1051TK_31J/C2875699" TargetMode="External"/><Relationship Id="rId4" Type="http://schemas.openxmlformats.org/officeDocument/2006/relationships/hyperlink" Target="https://jlcpcb.com/partdetail/TexasInstruments-TPS54560DDAR/C31966" TargetMode="External"/><Relationship Id="rId3" Type="http://schemas.openxmlformats.org/officeDocument/2006/relationships/hyperlink" Target="https://jlcpcb.com/partdetail/BoschSensortec-BMP388/C779278" TargetMode="External"/><Relationship Id="rId2" Type="http://schemas.openxmlformats.org/officeDocument/2006/relationships/hyperlink" Target="https://jlcpcb.com/partdetail/WinbondElec-W25Q128JVSIQ/C97521" TargetMode="External"/><Relationship Id="rId10" Type="http://schemas.openxmlformats.org/officeDocument/2006/relationships/hyperlink" Target="https://jlcpcb.com/partdetail/HXYMOSFET-ICM_42688PHXY/C46550687" TargetMode="External"/><Relationship Id="rId1" Type="http://schemas.openxmlformats.org/officeDocument/2006/relationships/hyperlink" Target="https://jlcpcb.com/parts/componentSearch?searchTxt=STM32H743VGT6&amp;_t=1783510028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3"/>
  <sheetViews>
    <sheetView zoomScale="120" zoomScaleNormal="120" workbookViewId="0">
      <selection activeCell="B7" sqref="B7"/>
    </sheetView>
  </sheetViews>
  <sheetFormatPr defaultColWidth="9.14285714285714" defaultRowHeight="15"/>
  <cols>
    <col min="2" max="2" width="16.8571428571429" customWidth="1"/>
    <col min="3" max="3" width="16.4285714285714" customWidth="1"/>
    <col min="4" max="4" width="18.7142857142857" customWidth="1"/>
    <col min="5" max="5" width="16.8571428571429" customWidth="1"/>
    <col min="6" max="6" width="27.1428571428571" customWidth="1"/>
    <col min="7" max="7" width="24" customWidth="1"/>
    <col min="8" max="8" width="25.7142857142857" customWidth="1"/>
    <col min="9" max="9" width="16.8571428571429" customWidth="1"/>
    <col min="10" max="10" width="27.1428571428571" customWidth="1"/>
    <col min="11" max="11" width="24" customWidth="1"/>
    <col min="12" max="12" width="25.7142857142857" customWidth="1"/>
    <col min="13" max="13" width="16.8571428571429" customWidth="1"/>
    <col min="14" max="14" width="27.1428571428571" customWidth="1"/>
    <col min="15" max="17" width="24" customWidth="1"/>
  </cols>
  <sheetData>
    <row r="2" ht="33.75" spans="1:18">
      <c r="A2" s="2"/>
      <c r="B2" s="2"/>
      <c r="C2" s="2"/>
      <c r="D2" s="2"/>
      <c r="E2" s="2"/>
      <c r="F2" s="2"/>
      <c r="G2" s="3"/>
      <c r="H2" s="2"/>
      <c r="I2" s="2"/>
      <c r="J2" s="3" t="s">
        <v>0</v>
      </c>
      <c r="K2" s="2"/>
      <c r="L2" s="2"/>
      <c r="M2" s="2"/>
      <c r="N2" s="2"/>
      <c r="O2" s="2"/>
      <c r="P2" s="2"/>
      <c r="Q2" s="2"/>
      <c r="R2" s="2"/>
    </row>
    <row r="3" spans="1:1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ht="17.25" spans="1:18">
      <c r="A4" s="2">
        <v>1</v>
      </c>
      <c r="B4" s="2" t="s">
        <v>19</v>
      </c>
      <c r="C4" s="2" t="s">
        <v>20</v>
      </c>
      <c r="D4" s="2">
        <v>1</v>
      </c>
      <c r="E4" s="4">
        <v>10.1703</v>
      </c>
      <c r="F4" s="5">
        <v>245</v>
      </c>
      <c r="G4" s="6">
        <f>E4*D4</f>
        <v>10.1703</v>
      </c>
      <c r="H4" s="7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ht="17.25" spans="1:18">
      <c r="A5" s="2">
        <v>2</v>
      </c>
      <c r="B5" s="8" t="s">
        <v>22</v>
      </c>
      <c r="C5" s="2" t="s">
        <v>23</v>
      </c>
      <c r="D5" s="2">
        <v>1</v>
      </c>
      <c r="E5" s="9">
        <v>2.7743</v>
      </c>
      <c r="F5" s="10">
        <v>121749</v>
      </c>
      <c r="G5" s="6">
        <f t="shared" ref="G5:G13" si="0">E5*D5</f>
        <v>2.7743</v>
      </c>
      <c r="H5" s="11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ht="17.25" spans="1:18">
      <c r="A6" s="2">
        <v>3</v>
      </c>
      <c r="B6" s="2" t="s">
        <v>24</v>
      </c>
      <c r="C6" s="2" t="s">
        <v>25</v>
      </c>
      <c r="D6" s="2">
        <v>2</v>
      </c>
      <c r="E6" s="9">
        <v>14.9397</v>
      </c>
      <c r="F6" s="10">
        <v>6540</v>
      </c>
      <c r="G6" s="6">
        <f t="shared" si="0"/>
        <v>29.8794</v>
      </c>
      <c r="H6" s="11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="22" customFormat="1" ht="17.25" spans="1:18">
      <c r="A7" s="23">
        <v>4</v>
      </c>
      <c r="B7" s="23" t="s">
        <v>26</v>
      </c>
      <c r="C7" s="23" t="s">
        <v>27</v>
      </c>
      <c r="D7" s="23">
        <v>1</v>
      </c>
      <c r="E7" s="24">
        <v>0.0377</v>
      </c>
      <c r="F7" s="23">
        <v>0</v>
      </c>
      <c r="G7" s="25">
        <f t="shared" si="0"/>
        <v>0.0377</v>
      </c>
      <c r="H7" s="26" t="s">
        <v>26</v>
      </c>
      <c r="I7" s="23"/>
      <c r="J7" s="23"/>
      <c r="K7" s="23"/>
      <c r="L7" s="23"/>
      <c r="M7" s="23"/>
      <c r="N7" s="23"/>
      <c r="O7" s="23"/>
      <c r="P7" s="23"/>
      <c r="Q7" s="23"/>
      <c r="R7" s="23"/>
    </row>
    <row r="8" ht="17.25" spans="1:18">
      <c r="A8" s="2">
        <v>5</v>
      </c>
      <c r="B8" s="2" t="s">
        <v>28</v>
      </c>
      <c r="C8" s="2" t="s">
        <v>29</v>
      </c>
      <c r="D8" s="2">
        <v>1</v>
      </c>
      <c r="E8" s="9">
        <v>1.3591</v>
      </c>
      <c r="F8" s="10">
        <v>54901</v>
      </c>
      <c r="G8" s="6">
        <f t="shared" si="0"/>
        <v>1.3591</v>
      </c>
      <c r="H8" s="11" t="s">
        <v>28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ht="17.25" spans="1:18">
      <c r="A9" s="2">
        <v>6</v>
      </c>
      <c r="B9" s="2" t="s">
        <v>30</v>
      </c>
      <c r="C9" s="2" t="s">
        <v>31</v>
      </c>
      <c r="D9" s="2">
        <v>1</v>
      </c>
      <c r="E9" s="9">
        <v>2.0193</v>
      </c>
      <c r="F9" s="10">
        <v>40888</v>
      </c>
      <c r="G9" s="6">
        <f t="shared" si="0"/>
        <v>2.0193</v>
      </c>
      <c r="H9" s="11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ht="17.25" spans="1:18">
      <c r="A10" s="2">
        <v>7</v>
      </c>
      <c r="B10" s="2" t="s">
        <v>32</v>
      </c>
      <c r="C10" s="2" t="s">
        <v>33</v>
      </c>
      <c r="D10" s="2">
        <v>1</v>
      </c>
      <c r="E10" s="9">
        <v>0.1252</v>
      </c>
      <c r="F10" s="10">
        <v>2051</v>
      </c>
      <c r="G10" s="6">
        <f t="shared" si="0"/>
        <v>0.1252</v>
      </c>
      <c r="H10" s="11" t="s">
        <v>32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7.25" spans="1:18">
      <c r="A11" s="2">
        <v>8</v>
      </c>
      <c r="B11" s="8" t="s">
        <v>34</v>
      </c>
      <c r="C11" s="2" t="s">
        <v>35</v>
      </c>
      <c r="D11" s="2">
        <v>1</v>
      </c>
      <c r="E11" s="17">
        <v>0.2025</v>
      </c>
      <c r="F11" s="18">
        <v>20544</v>
      </c>
      <c r="G11" s="6">
        <f t="shared" si="0"/>
        <v>0.2025</v>
      </c>
      <c r="H11" s="11" t="s">
        <v>34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7.25" spans="1:18">
      <c r="A12" s="2">
        <v>9</v>
      </c>
      <c r="B12" s="2" t="s">
        <v>36</v>
      </c>
      <c r="C12" s="2" t="s">
        <v>35</v>
      </c>
      <c r="D12" s="2">
        <v>1</v>
      </c>
      <c r="E12" s="17">
        <v>0.3597</v>
      </c>
      <c r="F12" s="18">
        <v>2833</v>
      </c>
      <c r="G12" s="6">
        <f t="shared" si="0"/>
        <v>0.3597</v>
      </c>
      <c r="H12" s="11" t="s">
        <v>36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7.25" spans="1:18">
      <c r="A13" s="2">
        <v>10</v>
      </c>
      <c r="B13" s="2" t="s">
        <v>37</v>
      </c>
      <c r="C13" s="2" t="s">
        <v>38</v>
      </c>
      <c r="D13" s="2">
        <v>2</v>
      </c>
      <c r="E13" s="17">
        <v>1.1085</v>
      </c>
      <c r="F13" s="19">
        <v>51812</v>
      </c>
      <c r="G13" s="6">
        <f t="shared" si="0"/>
        <v>2.217</v>
      </c>
      <c r="H13" s="7" t="s">
        <v>39</v>
      </c>
      <c r="I13" s="2"/>
      <c r="J13" s="2"/>
      <c r="K13" s="2"/>
      <c r="L13" s="2"/>
      <c r="M13" s="2"/>
      <c r="N13" s="2"/>
      <c r="O13" s="2"/>
      <c r="P13" s="2"/>
      <c r="Q13" s="2"/>
      <c r="R13" s="2"/>
    </row>
  </sheetData>
  <hyperlinks>
    <hyperlink ref="H4" r:id="rId1" display="STM32H743VGT6_JLC"/>
    <hyperlink ref="H13" r:id="rId2" display="TPS54560DDAR"/>
    <hyperlink ref="H5" r:id="rId3" display="W25Q128JV"/>
    <hyperlink ref="H6" r:id="rId4" display="ICM-42688-P"/>
    <hyperlink ref="H7" r:id="rId5" display="SPL06"/>
    <hyperlink ref="H8" r:id="rId6" display="TJA1051TK/3"/>
    <hyperlink ref="H9" r:id="rId7" display="AT7456E"/>
    <hyperlink ref="H10" r:id="rId8" display="SGM3001"/>
    <hyperlink ref="H11" r:id="rId9" display="LP5907-3.3"/>
    <hyperlink ref="H12" r:id="rId10" display="TLV1117LV33DCY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workbookViewId="0">
      <selection activeCell="F20" sqref="F20"/>
    </sheetView>
  </sheetViews>
  <sheetFormatPr defaultColWidth="9.14285714285714" defaultRowHeight="15"/>
  <cols>
    <col min="2" max="2" width="18.2857142857143" customWidth="1"/>
    <col min="3" max="3" width="16.4285714285714" customWidth="1"/>
    <col min="4" max="4" width="18.7142857142857" customWidth="1"/>
    <col min="5" max="5" width="16.8571428571429" customWidth="1"/>
    <col min="6" max="6" width="27.1428571428571" customWidth="1"/>
    <col min="7" max="7" width="24" customWidth="1"/>
    <col min="8" max="8" width="25.7142857142857" customWidth="1"/>
    <col min="9" max="9" width="16.8571428571429" customWidth="1"/>
    <col min="10" max="10" width="27.1428571428571" customWidth="1"/>
    <col min="11" max="11" width="24" customWidth="1"/>
    <col min="12" max="12" width="25.7142857142857" customWidth="1"/>
    <col min="13" max="13" width="16.8571428571429" customWidth="1"/>
    <col min="14" max="14" width="27.1428571428571" customWidth="1"/>
    <col min="15" max="15" width="24" customWidth="1"/>
    <col min="16" max="16" width="25.7142857142857" customWidth="1"/>
    <col min="17" max="17" width="24" customWidth="1"/>
  </cols>
  <sheetData>
    <row r="1" ht="33.75" spans="1:18">
      <c r="A1" s="2"/>
      <c r="B1" s="2"/>
      <c r="C1" s="2"/>
      <c r="D1" s="2"/>
      <c r="E1" s="2"/>
      <c r="F1" s="2"/>
      <c r="G1" s="3"/>
      <c r="H1" s="2"/>
      <c r="I1" s="2"/>
      <c r="J1" s="3" t="s">
        <v>0</v>
      </c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17.25" spans="1:18">
      <c r="A3" s="2">
        <v>1</v>
      </c>
      <c r="B3" s="2" t="s">
        <v>19</v>
      </c>
      <c r="C3" s="2" t="s">
        <v>20</v>
      </c>
      <c r="D3" s="2">
        <v>1</v>
      </c>
      <c r="E3" s="4">
        <v>10.1703</v>
      </c>
      <c r="F3" s="5">
        <v>245</v>
      </c>
      <c r="G3" s="6">
        <f t="shared" ref="G3:G12" si="0">E3*D3</f>
        <v>10.1703</v>
      </c>
      <c r="H3" s="7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ht="17.25" spans="1:18">
      <c r="A4" s="2">
        <v>2</v>
      </c>
      <c r="B4" s="8" t="s">
        <v>22</v>
      </c>
      <c r="C4" s="2" t="s">
        <v>23</v>
      </c>
      <c r="D4" s="2">
        <v>1</v>
      </c>
      <c r="E4" s="9">
        <v>2.7743</v>
      </c>
      <c r="F4" s="10">
        <v>121749</v>
      </c>
      <c r="G4" s="6">
        <f t="shared" si="0"/>
        <v>2.7743</v>
      </c>
      <c r="H4" s="11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ht="17.25" spans="1:18">
      <c r="A5" s="2">
        <v>3</v>
      </c>
      <c r="B5" s="2" t="s">
        <v>40</v>
      </c>
      <c r="C5" s="2" t="s">
        <v>25</v>
      </c>
      <c r="D5" s="2">
        <v>2</v>
      </c>
      <c r="E5" s="21">
        <v>7.7108</v>
      </c>
      <c r="F5" s="10">
        <v>6540</v>
      </c>
      <c r="G5" s="6">
        <f t="shared" si="0"/>
        <v>15.4216</v>
      </c>
      <c r="H5" s="11" t="s">
        <v>40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ht="17.25" spans="1:18">
      <c r="A6" s="13">
        <v>4</v>
      </c>
      <c r="B6" s="13" t="s">
        <v>41</v>
      </c>
      <c r="C6" s="13" t="s">
        <v>27</v>
      </c>
      <c r="D6" s="13">
        <v>1</v>
      </c>
      <c r="E6" s="21">
        <v>2.4771</v>
      </c>
      <c r="F6" s="14">
        <v>14187</v>
      </c>
      <c r="G6" s="15">
        <f t="shared" si="0"/>
        <v>2.4771</v>
      </c>
      <c r="H6" s="16" t="s">
        <v>41</v>
      </c>
      <c r="I6" s="13"/>
      <c r="J6" s="13"/>
      <c r="K6" s="13"/>
      <c r="L6" s="13"/>
      <c r="M6" s="13"/>
      <c r="N6" s="13"/>
      <c r="O6" s="13"/>
      <c r="P6" s="13"/>
      <c r="Q6" s="13"/>
      <c r="R6" s="13"/>
    </row>
    <row r="7" ht="17.25" spans="1:18">
      <c r="A7" s="2">
        <v>5</v>
      </c>
      <c r="B7" s="2" t="s">
        <v>28</v>
      </c>
      <c r="C7" s="2" t="s">
        <v>29</v>
      </c>
      <c r="D7" s="2">
        <v>1</v>
      </c>
      <c r="E7" s="9">
        <v>1.3591</v>
      </c>
      <c r="F7" s="10">
        <v>54901</v>
      </c>
      <c r="G7" s="6">
        <f t="shared" si="0"/>
        <v>1.3591</v>
      </c>
      <c r="H7" s="11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ht="17.25" spans="1:18">
      <c r="A8" s="2">
        <v>6</v>
      </c>
      <c r="B8" s="2" t="s">
        <v>30</v>
      </c>
      <c r="C8" s="2" t="s">
        <v>31</v>
      </c>
      <c r="D8" s="2">
        <v>1</v>
      </c>
      <c r="E8" s="9">
        <v>2.0193</v>
      </c>
      <c r="F8" s="10">
        <v>40888</v>
      </c>
      <c r="G8" s="6">
        <f t="shared" si="0"/>
        <v>2.0193</v>
      </c>
      <c r="H8" s="11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ht="17.25" spans="1:18">
      <c r="A9" s="2">
        <v>7</v>
      </c>
      <c r="B9" s="2" t="s">
        <v>32</v>
      </c>
      <c r="C9" s="2" t="s">
        <v>33</v>
      </c>
      <c r="D9" s="2">
        <v>1</v>
      </c>
      <c r="E9" s="9">
        <v>0.1252</v>
      </c>
      <c r="F9" s="10">
        <v>2051</v>
      </c>
      <c r="G9" s="6">
        <f t="shared" si="0"/>
        <v>0.1252</v>
      </c>
      <c r="H9" s="11" t="s">
        <v>32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ht="17.25" spans="1:18">
      <c r="A10" s="2">
        <v>8</v>
      </c>
      <c r="B10" s="8" t="s">
        <v>34</v>
      </c>
      <c r="C10" s="2" t="s">
        <v>35</v>
      </c>
      <c r="D10" s="2">
        <v>1</v>
      </c>
      <c r="E10" s="17">
        <v>0.2025</v>
      </c>
      <c r="F10" s="18">
        <v>20544</v>
      </c>
      <c r="G10" s="6">
        <f t="shared" si="0"/>
        <v>0.2025</v>
      </c>
      <c r="H10" s="11" t="s">
        <v>34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7.25" spans="1:18">
      <c r="A11" s="2">
        <v>9</v>
      </c>
      <c r="B11" s="2" t="s">
        <v>36</v>
      </c>
      <c r="C11" s="2" t="s">
        <v>35</v>
      </c>
      <c r="D11" s="2">
        <v>1</v>
      </c>
      <c r="E11" s="17">
        <v>0.3597</v>
      </c>
      <c r="F11" s="18">
        <v>2833</v>
      </c>
      <c r="G11" s="6">
        <f t="shared" si="0"/>
        <v>0.3597</v>
      </c>
      <c r="H11" s="11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7.25" spans="1:18">
      <c r="A12" s="2">
        <v>10</v>
      </c>
      <c r="B12" s="2" t="s">
        <v>37</v>
      </c>
      <c r="C12" s="2" t="s">
        <v>38</v>
      </c>
      <c r="D12" s="2">
        <v>2</v>
      </c>
      <c r="E12" s="17">
        <v>1.1085</v>
      </c>
      <c r="F12" s="19">
        <v>51812</v>
      </c>
      <c r="G12" s="6">
        <f t="shared" si="0"/>
        <v>2.217</v>
      </c>
      <c r="H12" s="7" t="s">
        <v>39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F13" t="s">
        <v>42</v>
      </c>
      <c r="G13" s="20">
        <f>SUM(G3:G12)</f>
        <v>37.1261</v>
      </c>
    </row>
  </sheetData>
  <hyperlinks>
    <hyperlink ref="H3" r:id="rId1" display="STM32H743VGT6_JLC"/>
    <hyperlink ref="H4" r:id="rId2" display="W25Q128JV"/>
    <hyperlink ref="H6" r:id="rId3" display="BMP388"/>
    <hyperlink ref="H5" r:id="rId4" display="ICM-42605"/>
    <hyperlink ref="H12" r:id="rId5" display="TPS54560DDAR"/>
    <hyperlink ref="H7" r:id="rId6" display="TJA1051TK/3"/>
    <hyperlink ref="H8" r:id="rId7" display="AT7456E"/>
    <hyperlink ref="H9" r:id="rId8" display="SGM3001"/>
    <hyperlink ref="H10" r:id="rId9" display="LP5907-3.3"/>
    <hyperlink ref="H11" r:id="rId10" display="TLV1117LV33DCY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tabSelected="1" workbookViewId="0">
      <selection activeCell="F27" sqref="F27"/>
    </sheetView>
  </sheetViews>
  <sheetFormatPr defaultColWidth="9.14285714285714" defaultRowHeight="15"/>
  <cols>
    <col min="2" max="2" width="18.2857142857143" customWidth="1"/>
    <col min="3" max="3" width="16.4285714285714" customWidth="1"/>
    <col min="4" max="4" width="18.7142857142857" customWidth="1"/>
    <col min="5" max="5" width="16.8571428571429" customWidth="1"/>
    <col min="6" max="6" width="27.1428571428571" customWidth="1"/>
    <col min="7" max="7" width="24" customWidth="1"/>
    <col min="8" max="8" width="25.7142857142857" customWidth="1"/>
    <col min="9" max="9" width="16.8571428571429" customWidth="1"/>
    <col min="10" max="10" width="27.1428571428571" customWidth="1"/>
    <col min="11" max="11" width="24" customWidth="1"/>
    <col min="12" max="12" width="25.7142857142857" customWidth="1"/>
    <col min="13" max="13" width="16.8571428571429" customWidth="1"/>
    <col min="14" max="14" width="27.1428571428571" customWidth="1"/>
    <col min="15" max="15" width="24" customWidth="1"/>
    <col min="16" max="16" width="25.7142857142857" customWidth="1"/>
    <col min="17" max="17" width="24" customWidth="1"/>
  </cols>
  <sheetData>
    <row r="1" ht="33.75" spans="1:18">
      <c r="A1" s="2"/>
      <c r="B1" s="2"/>
      <c r="C1" s="2"/>
      <c r="D1" s="2"/>
      <c r="E1" s="2"/>
      <c r="F1" s="2"/>
      <c r="G1" s="3"/>
      <c r="H1" s="2"/>
      <c r="I1" s="2"/>
      <c r="J1" s="3" t="s">
        <v>0</v>
      </c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17.25" spans="1:18">
      <c r="A3" s="2">
        <v>1</v>
      </c>
      <c r="B3" s="2" t="s">
        <v>19</v>
      </c>
      <c r="C3" s="2" t="s">
        <v>20</v>
      </c>
      <c r="D3" s="2">
        <v>1</v>
      </c>
      <c r="E3" s="4">
        <v>10.1703</v>
      </c>
      <c r="F3" s="5">
        <v>245</v>
      </c>
      <c r="G3" s="6">
        <f t="shared" ref="G3:G12" si="0">E3*D3</f>
        <v>10.1703</v>
      </c>
      <c r="H3" s="7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ht="17.25" spans="1:18">
      <c r="A4" s="2">
        <v>2</v>
      </c>
      <c r="B4" s="8" t="s">
        <v>22</v>
      </c>
      <c r="C4" s="2" t="s">
        <v>23</v>
      </c>
      <c r="D4" s="2">
        <v>1</v>
      </c>
      <c r="E4" s="9">
        <v>2.7743</v>
      </c>
      <c r="F4" s="10">
        <v>121749</v>
      </c>
      <c r="G4" s="6">
        <f t="shared" si="0"/>
        <v>2.7743</v>
      </c>
      <c r="H4" s="11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ht="17.25" spans="1:18">
      <c r="A5" s="2">
        <v>3</v>
      </c>
      <c r="B5" s="2" t="s">
        <v>43</v>
      </c>
      <c r="C5" s="2" t="s">
        <v>25</v>
      </c>
      <c r="D5" s="2">
        <v>2</v>
      </c>
      <c r="E5" s="12">
        <v>3.5085</v>
      </c>
      <c r="F5" s="10">
        <v>6540</v>
      </c>
      <c r="G5" s="6">
        <f t="shared" si="0"/>
        <v>7.017</v>
      </c>
      <c r="H5" s="11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ht="17.25" spans="1:18">
      <c r="A6" s="13">
        <v>4</v>
      </c>
      <c r="B6" s="13" t="s">
        <v>41</v>
      </c>
      <c r="C6" s="13" t="s">
        <v>27</v>
      </c>
      <c r="D6" s="13">
        <v>1</v>
      </c>
      <c r="E6" s="12">
        <v>1.539</v>
      </c>
      <c r="F6" s="14">
        <v>14187</v>
      </c>
      <c r="G6" s="15">
        <f t="shared" si="0"/>
        <v>1.539</v>
      </c>
      <c r="H6" s="16" t="s">
        <v>41</v>
      </c>
      <c r="I6" s="13"/>
      <c r="J6" s="13"/>
      <c r="K6" s="13"/>
      <c r="L6" s="13"/>
      <c r="M6" s="13"/>
      <c r="N6" s="13"/>
      <c r="O6" s="13"/>
      <c r="P6" s="13"/>
      <c r="Q6" s="13"/>
      <c r="R6" s="13"/>
    </row>
    <row r="7" ht="17.25" spans="1:18">
      <c r="A7" s="2">
        <v>5</v>
      </c>
      <c r="B7" s="2" t="s">
        <v>28</v>
      </c>
      <c r="C7" s="2" t="s">
        <v>29</v>
      </c>
      <c r="D7" s="2">
        <v>1</v>
      </c>
      <c r="E7" s="9">
        <v>1.3591</v>
      </c>
      <c r="F7" s="10">
        <v>54901</v>
      </c>
      <c r="G7" s="6">
        <f t="shared" si="0"/>
        <v>1.3591</v>
      </c>
      <c r="H7" s="11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ht="17.25" spans="1:18">
      <c r="A8" s="2">
        <v>6</v>
      </c>
      <c r="B8" s="2" t="s">
        <v>30</v>
      </c>
      <c r="C8" s="2" t="s">
        <v>31</v>
      </c>
      <c r="D8" s="2">
        <v>1</v>
      </c>
      <c r="E8" s="9">
        <v>2.0193</v>
      </c>
      <c r="F8" s="10">
        <v>40888</v>
      </c>
      <c r="G8" s="6">
        <f t="shared" si="0"/>
        <v>2.0193</v>
      </c>
      <c r="H8" s="11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ht="17.25" spans="1:18">
      <c r="A9" s="2">
        <v>7</v>
      </c>
      <c r="B9" s="2" t="s">
        <v>32</v>
      </c>
      <c r="C9" s="2" t="s">
        <v>33</v>
      </c>
      <c r="D9" s="2">
        <v>1</v>
      </c>
      <c r="E9" s="9">
        <v>0.1252</v>
      </c>
      <c r="F9" s="10">
        <v>2051</v>
      </c>
      <c r="G9" s="6">
        <f t="shared" si="0"/>
        <v>0.1252</v>
      </c>
      <c r="H9" s="11" t="s">
        <v>32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ht="17.25" spans="1:18">
      <c r="A10" s="2">
        <v>8</v>
      </c>
      <c r="B10" s="8" t="s">
        <v>34</v>
      </c>
      <c r="C10" s="2" t="s">
        <v>35</v>
      </c>
      <c r="D10" s="2">
        <v>1</v>
      </c>
      <c r="E10" s="17">
        <v>0.2025</v>
      </c>
      <c r="F10" s="18">
        <v>20544</v>
      </c>
      <c r="G10" s="6">
        <f t="shared" si="0"/>
        <v>0.2025</v>
      </c>
      <c r="H10" s="11" t="s">
        <v>34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7.25" spans="1:18">
      <c r="A11" s="2">
        <v>9</v>
      </c>
      <c r="B11" s="2" t="s">
        <v>36</v>
      </c>
      <c r="C11" s="2" t="s">
        <v>35</v>
      </c>
      <c r="D11" s="2">
        <v>1</v>
      </c>
      <c r="E11" s="17">
        <v>0.3597</v>
      </c>
      <c r="F11" s="18">
        <v>2833</v>
      </c>
      <c r="G11" s="6">
        <f t="shared" si="0"/>
        <v>0.3597</v>
      </c>
      <c r="H11" s="11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7.25" spans="1:18">
      <c r="A12" s="2">
        <v>10</v>
      </c>
      <c r="B12" s="2" t="s">
        <v>37</v>
      </c>
      <c r="C12" s="2" t="s">
        <v>38</v>
      </c>
      <c r="D12" s="2">
        <v>2</v>
      </c>
      <c r="E12" s="17">
        <v>1.1085</v>
      </c>
      <c r="F12" s="19">
        <v>51812</v>
      </c>
      <c r="G12" s="6">
        <f t="shared" si="0"/>
        <v>2.217</v>
      </c>
      <c r="H12" s="7" t="s">
        <v>39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1" spans="1:18">
      <c r="F13" t="s">
        <v>42</v>
      </c>
      <c r="G13" s="20">
        <f>SUM(G3:G12)</f>
        <v>27.7834</v>
      </c>
    </row>
  </sheetData>
  <hyperlinks>
    <hyperlink ref="H3" r:id="rId1" display="STM32H743VGT6_JLC"/>
    <hyperlink ref="H4" r:id="rId2" display="W25Q128JV"/>
    <hyperlink ref="H6" r:id="rId3" display="BMP388"/>
    <hyperlink ref="H12" r:id="rId4" display="TPS54560DDAR"/>
    <hyperlink ref="H7" r:id="rId5" display="TJA1051TK/3"/>
    <hyperlink ref="H8" r:id="rId6" display="AT7456E"/>
    <hyperlink ref="H9" r:id="rId7" display="SGM3001"/>
    <hyperlink ref="H10" r:id="rId8" display="LP5907-3.3"/>
    <hyperlink ref="H11" r:id="rId9" display="TLV1117LV33DCYR"/>
    <hyperlink ref="H5" r:id="rId10" display="ICM-42688-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OriginList</vt:lpstr>
      <vt:lpstr>BackUpList</vt:lpstr>
      <vt:lpstr>BackUp(Cheap1)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2026-07-08T09:12:00Z</dcterms:created>
  <dcterms:modified xsi:type="dcterms:W3CDTF">2026-07-09T07:30:27Z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4FFFD13B80244BC991718061EDB49767_11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